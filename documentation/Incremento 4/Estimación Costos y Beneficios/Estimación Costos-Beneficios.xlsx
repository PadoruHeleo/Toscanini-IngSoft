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isco\Downloads\"/>
    </mc:Choice>
  </mc:AlternateContent>
  <xr:revisionPtr revIDLastSave="0" documentId="13_ncr:1_{2AED0744-C4A0-40E4-AB3C-29EC140F5846}" xr6:coauthVersionLast="47" xr6:coauthVersionMax="47" xr10:uidLastSave="{00000000-0000-0000-0000-000000000000}"/>
  <bookViews>
    <workbookView xWindow="-14985" yWindow="11265" windowWidth="14280" windowHeight="16305" xr2:uid="{00000000-000D-0000-FFFF-FFFF00000000}"/>
  </bookViews>
  <sheets>
    <sheet name="Estimación Costo y Beneficio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Cj5qEeFV6vYl9sWco0WSlQf+3WkEiOAy6o1yNAvT1VQ="/>
    </ext>
  </extLst>
</workbook>
</file>

<file path=xl/calcChain.xml><?xml version="1.0" encoding="utf-8"?>
<calcChain xmlns="http://schemas.openxmlformats.org/spreadsheetml/2006/main">
  <c r="I15" i="2" l="1"/>
  <c r="K24" i="2"/>
  <c r="N39" i="2"/>
  <c r="L39" i="2"/>
  <c r="K39" i="2"/>
  <c r="J39" i="2"/>
  <c r="B3" i="2" s="1"/>
  <c r="B13" i="2" s="1"/>
  <c r="I39" i="2"/>
  <c r="H39" i="2"/>
  <c r="G39" i="2"/>
  <c r="F39" i="2"/>
  <c r="E39" i="2"/>
  <c r="D39" i="2"/>
  <c r="C39" i="2"/>
  <c r="C25" i="2"/>
  <c r="W23" i="2"/>
  <c r="J23" i="2"/>
  <c r="K23" i="2" s="1"/>
  <c r="P22" i="2"/>
  <c r="K22" i="2"/>
  <c r="I29" i="2" s="1"/>
  <c r="I32" i="2" s="1"/>
  <c r="P24" i="2" s="1"/>
  <c r="J22" i="2"/>
  <c r="P21" i="2"/>
  <c r="V19" i="2"/>
  <c r="V20" i="2" s="1"/>
  <c r="V23" i="2" s="1"/>
  <c r="L19" i="2"/>
  <c r="K19" i="2"/>
  <c r="J19" i="2"/>
  <c r="I19" i="2"/>
  <c r="W18" i="2"/>
  <c r="D25" i="2" s="1"/>
  <c r="I13" i="2"/>
  <c r="I10" i="2"/>
  <c r="P25" i="2" l="1"/>
  <c r="P26" i="2" s="1"/>
  <c r="P27" i="2" s="1"/>
  <c r="P28" i="2" s="1"/>
  <c r="P29" i="2" s="1"/>
  <c r="T40" i="2"/>
  <c r="V26" i="2"/>
  <c r="V27" i="2" s="1"/>
  <c r="V28" i="2" s="1"/>
  <c r="V29" i="2" s="1"/>
  <c r="V30" i="2" s="1"/>
  <c r="V25" i="2"/>
  <c r="B2" i="2"/>
  <c r="B12" i="2" s="1"/>
  <c r="K25" i="2"/>
  <c r="I27" i="2"/>
  <c r="I28" i="2"/>
  <c r="I31" i="2" s="1"/>
  <c r="T41" i="2" l="1"/>
  <c r="T42" i="2" l="1"/>
  <c r="T43" i="2" l="1"/>
  <c r="T44" i="2" l="1"/>
  <c r="W39" i="2" s="1"/>
  <c r="W40" i="2" a="1"/>
  <c r="W40" i="2" s="1"/>
</calcChain>
</file>

<file path=xl/sharedStrings.xml><?xml version="1.0" encoding="utf-8"?>
<sst xmlns="http://schemas.openxmlformats.org/spreadsheetml/2006/main" count="99" uniqueCount="91">
  <si>
    <t>E(Rm)</t>
  </si>
  <si>
    <t>Promedio de la sumatorio del IGPA de 2021 a 2024</t>
  </si>
  <si>
    <t>Promedio de la sumatorio del IGPA de 2020 a 2024</t>
  </si>
  <si>
    <t>Gastos</t>
  </si>
  <si>
    <t>Rf</t>
  </si>
  <si>
    <t>Bono en pesos a 5 años, BCP</t>
  </si>
  <si>
    <t>https://si3.bcentral.cl/Siete/ES/Siete/Cuadro/CAP_TASA_INTERES/MN_TASA_INTERES_09/TMS_15/T311</t>
  </si>
  <si>
    <t>Ganacias y Calculos</t>
  </si>
  <si>
    <t>Beta</t>
  </si>
  <si>
    <t>Servicios Telecom</t>
  </si>
  <si>
    <t>Tablas Damodaran EEUU</t>
  </si>
  <si>
    <t>Tablas Damodaran Global</t>
  </si>
  <si>
    <t>Equipos Telecom</t>
  </si>
  <si>
    <t>Tablas DamodaranGlobal</t>
  </si>
  <si>
    <t>Watts de Server</t>
  </si>
  <si>
    <t>peor caso</t>
  </si>
  <si>
    <t>KW/h Diario</t>
  </si>
  <si>
    <t>i</t>
  </si>
  <si>
    <t>Tasa de Descuento Final, 4 años</t>
  </si>
  <si>
    <t>Tarifa kWh</t>
  </si>
  <si>
    <t>BT-AA T4</t>
  </si>
  <si>
    <t>Ñuñua</t>
  </si>
  <si>
    <t>https://www.enel.cl/es/clientes/tarifas-y-regulacion/consumo-artefactos-electricos.html</t>
  </si>
  <si>
    <t>Tasa de Descuento Final, 5 años</t>
  </si>
  <si>
    <t>Gasto Anual Servidor Local</t>
  </si>
  <si>
    <t>https://www.enel.cl/content/dam/enel-cl/es/personas/informacion-de-utilidad/tarifas-y-reglamentos/tarifas/tarifas-vigentes/vigentes/Tarifas%20Suministros%2015T_Clientes%20Regulados%20-%20Abril25.pdf</t>
  </si>
  <si>
    <t>Approach 1</t>
  </si>
  <si>
    <t>Approach 2</t>
  </si>
  <si>
    <t>Reducira los Costos de operación, en especifico los gastos generales y mantencion de activos</t>
  </si>
  <si>
    <t>Nuestro proyecto busca mejorar la eficiencia del departamento de ventas de Toscanini</t>
  </si>
  <si>
    <t>Horas Laborales por Año</t>
  </si>
  <si>
    <t>Costos Anuales 2024</t>
  </si>
  <si>
    <t>40 semanales</t>
  </si>
  <si>
    <t>30 semanales</t>
  </si>
  <si>
    <t>20h sem</t>
  </si>
  <si>
    <t>10h sem</t>
  </si>
  <si>
    <t>Mantencion Activos</t>
  </si>
  <si>
    <t>Ingreso por Horas general</t>
  </si>
  <si>
    <t>Horas de Desarrollo Proyecto</t>
  </si>
  <si>
    <t>Gastos Generales</t>
  </si>
  <si>
    <t>Ingreso por Horas Ventas</t>
  </si>
  <si>
    <t>Costos de Ingenierios</t>
  </si>
  <si>
    <t>MES</t>
  </si>
  <si>
    <t>Hora</t>
  </si>
  <si>
    <t>Reducira en el sgte porcentaje</t>
  </si>
  <si>
    <t>Ingreso annual</t>
  </si>
  <si>
    <t>Gasto Annual Ventas</t>
  </si>
  <si>
    <t>Numero de Ing</t>
  </si>
  <si>
    <t>Ahorro Mantencion</t>
  </si>
  <si>
    <t>https://insights.getonbrd.com/reports/success-rates-salaries</t>
  </si>
  <si>
    <t>Sueldo GETONBOARD Junior USD</t>
  </si>
  <si>
    <t>Ahorro Gastos Generales</t>
  </si>
  <si>
    <t>La eficiencia subira los ingresos por hora de ventas en un</t>
  </si>
  <si>
    <t>https://cl.talent.com/salary?job=ingeniero+civil+informatica</t>
  </si>
  <si>
    <t>Sueldo Annual Talent.COM</t>
  </si>
  <si>
    <t>Ingrsos por la solucion</t>
  </si>
  <si>
    <t>Costo por Horas</t>
  </si>
  <si>
    <t>https://www.payscale.com/research/CL/Job=Software_Engineer/Salary/6eb9bdcb/Early-Career</t>
  </si>
  <si>
    <t>Average Early-Career Software Engineer</t>
  </si>
  <si>
    <t>Anno 0</t>
  </si>
  <si>
    <t>Utilidad por Horas</t>
  </si>
  <si>
    <t>Promedio</t>
  </si>
  <si>
    <t>Flujo de Caja Annual 1</t>
  </si>
  <si>
    <t>Flujo de Caja Annual 2</t>
  </si>
  <si>
    <t>Flujo de Caja Annual</t>
  </si>
  <si>
    <t>Costo Horas de Trabajo Individual (20 sem)</t>
  </si>
  <si>
    <t>Flujo de Caja Annual 3</t>
  </si>
  <si>
    <t>Costo Horas de Trabajo Individual (15h sem)</t>
  </si>
  <si>
    <t>Flujo de Caja Annual 4</t>
  </si>
  <si>
    <t>Costo Horas de Trabajo Individual (10h sem)</t>
  </si>
  <si>
    <t>Flujo de Caja Annual 5</t>
  </si>
  <si>
    <t>Costo Grupo (15h sem)</t>
  </si>
  <si>
    <t>Costo Grupo (10H sem)</t>
  </si>
  <si>
    <t>Usd</t>
  </si>
  <si>
    <t>Peso chileno</t>
  </si>
  <si>
    <t>Datos Banco Central IGPA</t>
  </si>
  <si>
    <t>Combinación Approach 1 y Approach 2</t>
  </si>
  <si>
    <t>`</t>
  </si>
  <si>
    <t>CLP</t>
  </si>
  <si>
    <t>Porcentaje en relacio a</t>
  </si>
  <si>
    <t>Inversión Inicial</t>
  </si>
  <si>
    <t>TIR</t>
  </si>
  <si>
    <t>año anterior</t>
  </si>
  <si>
    <t>Flujo de Caja Año 1</t>
  </si>
  <si>
    <t>VAN</t>
  </si>
  <si>
    <t>Flujo de Caja Año 2</t>
  </si>
  <si>
    <t>Flujo de Caja Año 3</t>
  </si>
  <si>
    <t>Flujo de Caja Año 4</t>
  </si>
  <si>
    <t>Flujo de Caja Año 5</t>
  </si>
  <si>
    <t>Gasto Anual Hosting v2Networks</t>
  </si>
  <si>
    <t>https://v2networks.cl/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</si>
</sst>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&quot;$&quot;\-#,##0"/>
    <numFmt numFmtId="164" formatCode="&quot;$&quot;#,##0"/>
    <numFmt numFmtId="165" formatCode="#,##0.0"/>
    <numFmt numFmtId="166" formatCode="_ * #,##0.0000_ ;_ * \-#,##0.0000_ ;_ * &quot;-&quot;_ ;_ @_ "/>
    <numFmt numFmtId="167" formatCode="0.0%"/>
    <numFmt numFmtId="168" formatCode="&quot;$&quot;#,##0.0"/>
    <numFmt numFmtId="169" formatCode="_ * #,##0.0000_ ;_ * \-#,##0.0000_ ;_ * &quot;-&quot;????_ ;_ @_ "/>
    <numFmt numFmtId="170" formatCode="yyyy"/>
  </numFmts>
  <fonts count="12">
    <font>
      <sz val="11"/>
      <color theme="1"/>
      <name val="Aptos Narrow"/>
      <scheme val="minor"/>
    </font>
    <font>
      <sz val="11"/>
      <color theme="1"/>
      <name val="Aptos Narrow"/>
    </font>
    <font>
      <b/>
      <sz val="20"/>
      <color theme="1"/>
      <name val="Arial"/>
    </font>
    <font>
      <u/>
      <sz val="11"/>
      <color theme="10"/>
      <name val="Aptos Narrow"/>
    </font>
    <font>
      <sz val="23"/>
      <color theme="1"/>
      <name val="Arial"/>
    </font>
    <font>
      <sz val="11"/>
      <color theme="1"/>
      <name val="Arial"/>
    </font>
    <font>
      <u/>
      <sz val="11"/>
      <color rgb="FF0000FF"/>
      <name val="Aptos Narrow"/>
    </font>
    <font>
      <b/>
      <sz val="12"/>
      <color rgb="FF000000"/>
      <name val="Calibri"/>
    </font>
    <font>
      <sz val="11"/>
      <name val="Aptos Narrow"/>
    </font>
    <font>
      <sz val="11"/>
      <color rgb="FF000000"/>
      <name val="Calibri"/>
    </font>
    <font>
      <b/>
      <sz val="11"/>
      <color theme="1"/>
      <name val="Aptos Narrow"/>
    </font>
    <font>
      <u/>
      <sz val="11"/>
      <color theme="1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/>
    <xf numFmtId="0" fontId="5" fillId="2" borderId="5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170" fontId="7" fillId="5" borderId="12" xfId="0" applyNumberFormat="1" applyFont="1" applyFill="1" applyBorder="1"/>
    <xf numFmtId="165" fontId="9" fillId="0" borderId="12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6" fillId="0" borderId="4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1" fillId="0" borderId="7" xfId="0" applyFont="1" applyBorder="1"/>
    <xf numFmtId="164" fontId="1" fillId="0" borderId="0" xfId="0" applyNumberFormat="1" applyFont="1"/>
    <xf numFmtId="167" fontId="1" fillId="0" borderId="0" xfId="0" applyNumberFormat="1" applyFont="1"/>
    <xf numFmtId="0" fontId="3" fillId="0" borderId="4" xfId="0" applyFont="1" applyBorder="1"/>
    <xf numFmtId="164" fontId="1" fillId="2" borderId="6" xfId="0" applyNumberFormat="1" applyFont="1" applyFill="1" applyBorder="1"/>
    <xf numFmtId="1" fontId="1" fillId="0" borderId="0" xfId="0" applyNumberFormat="1" applyFont="1"/>
    <xf numFmtId="164" fontId="1" fillId="0" borderId="4" xfId="0" applyNumberFormat="1" applyFont="1" applyBorder="1"/>
    <xf numFmtId="0" fontId="1" fillId="3" borderId="7" xfId="0" applyFont="1" applyFill="1" applyBorder="1"/>
    <xf numFmtId="164" fontId="1" fillId="3" borderId="8" xfId="0" applyNumberFormat="1" applyFont="1" applyFill="1" applyBorder="1"/>
    <xf numFmtId="0" fontId="1" fillId="0" borderId="7" xfId="0" applyFont="1" applyBorder="1" applyAlignment="1">
      <alignment wrapText="1"/>
    </xf>
    <xf numFmtId="6" fontId="1" fillId="0" borderId="0" xfId="0" applyNumberFormat="1" applyFont="1"/>
    <xf numFmtId="168" fontId="1" fillId="0" borderId="0" xfId="0" applyNumberFormat="1" applyFont="1"/>
    <xf numFmtId="0" fontId="1" fillId="4" borderId="7" xfId="0" applyFont="1" applyFill="1" applyBorder="1"/>
    <xf numFmtId="164" fontId="1" fillId="4" borderId="8" xfId="0" applyNumberFormat="1" applyFont="1" applyFill="1" applyBorder="1"/>
    <xf numFmtId="0" fontId="1" fillId="4" borderId="11" xfId="0" applyFont="1" applyFill="1" applyBorder="1"/>
    <xf numFmtId="164" fontId="1" fillId="4" borderId="9" xfId="0" applyNumberFormat="1" applyFont="1" applyFill="1" applyBorder="1"/>
    <xf numFmtId="0" fontId="1" fillId="2" borderId="5" xfId="0" applyFont="1" applyFill="1" applyBorder="1"/>
    <xf numFmtId="169" fontId="1" fillId="0" borderId="7" xfId="0" applyNumberFormat="1" applyFont="1" applyBorder="1"/>
    <xf numFmtId="9" fontId="1" fillId="0" borderId="0" xfId="0" applyNumberFormat="1" applyFont="1"/>
    <xf numFmtId="0" fontId="5" fillId="0" borderId="0" xfId="0" applyFont="1"/>
    <xf numFmtId="0" fontId="1" fillId="6" borderId="12" xfId="0" applyFont="1" applyFill="1" applyBorder="1"/>
    <xf numFmtId="164" fontId="1" fillId="6" borderId="12" xfId="0" applyNumberFormat="1" applyFont="1" applyFill="1" applyBorder="1"/>
    <xf numFmtId="9" fontId="1" fillId="6" borderId="12" xfId="0" applyNumberFormat="1" applyFont="1" applyFill="1" applyBorder="1"/>
    <xf numFmtId="0" fontId="10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1" fillId="0" borderId="7" xfId="1" applyBorder="1"/>
    <xf numFmtId="0" fontId="2" fillId="0" borderId="0" xfId="0" applyFont="1"/>
    <xf numFmtId="0" fontId="0" fillId="0" borderId="0" xfId="0"/>
    <xf numFmtId="0" fontId="4" fillId="0" borderId="0" xfId="0" applyFont="1"/>
    <xf numFmtId="0" fontId="1" fillId="6" borderId="13" xfId="0" applyFont="1" applyFill="1" applyBorder="1" applyAlignment="1">
      <alignment horizontal="center"/>
    </xf>
    <xf numFmtId="0" fontId="8" fillId="0" borderId="14" xfId="0" applyFont="1" applyBorder="1"/>
    <xf numFmtId="0" fontId="8" fillId="0" borderId="15" xfId="0" applyFont="1" applyBorder="1"/>
    <xf numFmtId="0" fontId="1" fillId="6" borderId="16" xfId="0" applyFont="1" applyFill="1" applyBorder="1" applyAlignment="1">
      <alignment horizontal="center"/>
    </xf>
    <xf numFmtId="0" fontId="8" fillId="0" borderId="17" xfId="0" applyFont="1" applyBorder="1"/>
    <xf numFmtId="0" fontId="8" fillId="0" borderId="18" xfId="0" applyFont="1" applyBorder="1"/>
    <xf numFmtId="0" fontId="1" fillId="6" borderId="1" xfId="0" applyFont="1" applyFill="1" applyBorder="1" applyAlignment="1">
      <alignment horizontal="center"/>
    </xf>
    <xf numFmtId="0" fontId="8" fillId="0" borderId="3" xfId="0" applyFont="1" applyBorder="1"/>
    <xf numFmtId="0" fontId="8" fillId="0" borderId="7" xfId="0" applyFont="1" applyBorder="1"/>
    <xf numFmtId="0" fontId="8" fillId="0" borderId="4" xfId="0" applyFont="1" applyBorder="1"/>
    <xf numFmtId="0" fontId="8" fillId="0" borderId="11" xfId="0" applyFont="1" applyBorder="1"/>
    <xf numFmtId="0" fontId="8" fillId="0" borderId="10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15</xdr:row>
      <xdr:rowOff>0</xdr:rowOff>
    </xdr:from>
    <xdr:ext cx="4791075" cy="7715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190500" cy="2000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l.cl/content/dam/enel-cl/es/personas/informacion-de-utilidad/tarifas-y-reglamentos/tarifas/tarifas-vigentes/vigentes/Tarifas%20Suministros%2015T_Clientes%20Regulados%20-%20Abril25.pdf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enel.cl/es/clientes/tarifas-y-regulacion/consumo-artefactos-electricos.html" TargetMode="External"/><Relationship Id="rId1" Type="http://schemas.openxmlformats.org/officeDocument/2006/relationships/hyperlink" Target="https://si3.bcentral.cl/Siete/ES/Siete/Cuadro/CAP_TASA_INTERES/MN_TASA_INTERES_09/TMS_15/T311" TargetMode="External"/><Relationship Id="rId6" Type="http://schemas.openxmlformats.org/officeDocument/2006/relationships/hyperlink" Target="https://www.payscale.com/research/CL/Job=Software_Engineer/Salary/6eb9bdcb/Early-Career" TargetMode="External"/><Relationship Id="rId5" Type="http://schemas.openxmlformats.org/officeDocument/2006/relationships/hyperlink" Target="https://cl.talent.com/salary?job=ingeniero+civil+informatica" TargetMode="External"/><Relationship Id="rId4" Type="http://schemas.openxmlformats.org/officeDocument/2006/relationships/hyperlink" Target="https://insights.getonbrd.com/reports/success-rates-sala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1000"/>
  <sheetViews>
    <sheetView tabSelected="1" topLeftCell="O7" zoomScale="80" zoomScaleNormal="80" workbookViewId="0">
      <selection activeCell="W40" sqref="W40"/>
    </sheetView>
  </sheetViews>
  <sheetFormatPr baseColWidth="10" defaultColWidth="12.5703125" defaultRowHeight="15" customHeight="1"/>
  <cols>
    <col min="1" max="1" width="10.5703125" customWidth="1"/>
    <col min="2" max="2" width="20" customWidth="1"/>
    <col min="3" max="3" width="18.140625" customWidth="1"/>
    <col min="4" max="4" width="10.5703125" customWidth="1"/>
    <col min="5" max="5" width="15.7109375" customWidth="1"/>
    <col min="6" max="7" width="10.5703125" customWidth="1"/>
    <col min="8" max="8" width="40.42578125" customWidth="1"/>
    <col min="9" max="9" width="13.5703125" customWidth="1"/>
    <col min="10" max="10" width="13.28515625" customWidth="1"/>
    <col min="11" max="11" width="10.5703125" customWidth="1"/>
    <col min="12" max="12" width="15.42578125" customWidth="1"/>
    <col min="13" max="13" width="8.5703125" customWidth="1"/>
    <col min="14" max="14" width="18.85546875" customWidth="1"/>
    <col min="15" max="15" width="27.140625" customWidth="1"/>
    <col min="16" max="16" width="13.42578125" customWidth="1"/>
    <col min="17" max="17" width="10.5703125" customWidth="1"/>
    <col min="18" max="18" width="15.85546875" customWidth="1"/>
    <col min="19" max="19" width="21.42578125" customWidth="1"/>
    <col min="20" max="20" width="13.42578125" customWidth="1"/>
    <col min="21" max="21" width="31" customWidth="1"/>
    <col min="22" max="22" width="14.42578125" customWidth="1"/>
    <col min="23" max="23" width="13.7109375" customWidth="1"/>
    <col min="24" max="24" width="19.5703125" customWidth="1"/>
    <col min="25" max="25" width="13.7109375" customWidth="1"/>
    <col min="26" max="26" width="10.5703125" customWidth="1"/>
  </cols>
  <sheetData>
    <row r="2" spans="1:25">
      <c r="A2" s="1" t="s">
        <v>0</v>
      </c>
      <c r="B2" s="15">
        <f>AVERAGE(J39:N39)</f>
        <v>12.922482382625269</v>
      </c>
      <c r="C2" s="1" t="s">
        <v>1</v>
      </c>
      <c r="F2" s="2"/>
      <c r="G2" s="3"/>
      <c r="H2" s="3"/>
      <c r="I2" s="3"/>
      <c r="J2" s="3"/>
      <c r="K2" s="3"/>
      <c r="L2" s="4"/>
      <c r="O2" s="2"/>
      <c r="P2" s="3"/>
      <c r="Q2" s="3"/>
      <c r="R2" s="3"/>
      <c r="S2" s="3"/>
      <c r="T2" s="3"/>
      <c r="U2" s="3"/>
      <c r="V2" s="3"/>
      <c r="W2" s="3"/>
      <c r="X2" s="3"/>
      <c r="Y2" s="4"/>
    </row>
    <row r="3" spans="1:25">
      <c r="B3" s="16">
        <f>AVERAGE(I39:N39)</f>
        <v>8.2980458030033333</v>
      </c>
      <c r="C3" s="1" t="s">
        <v>2</v>
      </c>
      <c r="F3" s="17"/>
      <c r="G3" s="44" t="s">
        <v>3</v>
      </c>
      <c r="H3" s="45"/>
      <c r="L3" s="5"/>
      <c r="O3" s="17"/>
      <c r="Y3" s="5"/>
    </row>
    <row r="4" spans="1:25">
      <c r="A4" s="1" t="s">
        <v>4</v>
      </c>
      <c r="B4" s="1">
        <v>5.57</v>
      </c>
      <c r="C4" s="1" t="s">
        <v>5</v>
      </c>
      <c r="E4" s="6" t="s">
        <v>6</v>
      </c>
      <c r="F4" s="17"/>
      <c r="G4" s="45"/>
      <c r="H4" s="45"/>
      <c r="L4" s="5"/>
      <c r="O4" s="17"/>
      <c r="Y4" s="5"/>
    </row>
    <row r="5" spans="1:25">
      <c r="F5" s="17"/>
      <c r="L5" s="5"/>
      <c r="O5" s="17"/>
      <c r="S5" s="46" t="s">
        <v>7</v>
      </c>
      <c r="T5" s="45"/>
      <c r="U5" s="45"/>
      <c r="Y5" s="5"/>
    </row>
    <row r="6" spans="1:25">
      <c r="A6" s="1" t="s">
        <v>8</v>
      </c>
      <c r="B6" s="1">
        <v>0.89</v>
      </c>
      <c r="C6" s="1" t="s">
        <v>9</v>
      </c>
      <c r="D6" s="1" t="s">
        <v>10</v>
      </c>
      <c r="F6" s="17"/>
      <c r="L6" s="5"/>
      <c r="O6" s="17"/>
      <c r="S6" s="45"/>
      <c r="T6" s="45"/>
      <c r="U6" s="45"/>
      <c r="Y6" s="5"/>
    </row>
    <row r="7" spans="1:25">
      <c r="B7" s="1">
        <v>0.86</v>
      </c>
      <c r="C7" s="1" t="s">
        <v>9</v>
      </c>
      <c r="D7" s="1" t="s">
        <v>11</v>
      </c>
      <c r="F7" s="17"/>
      <c r="L7" s="5"/>
      <c r="O7" s="17"/>
      <c r="Y7" s="5"/>
    </row>
    <row r="8" spans="1:25">
      <c r="B8" s="1">
        <v>1</v>
      </c>
      <c r="C8" s="1" t="s">
        <v>12</v>
      </c>
      <c r="D8" s="1" t="s">
        <v>10</v>
      </c>
      <c r="F8" s="17"/>
      <c r="L8" s="5"/>
      <c r="O8" s="17"/>
      <c r="Y8" s="5"/>
    </row>
    <row r="9" spans="1:25">
      <c r="B9" s="1">
        <v>1.19</v>
      </c>
      <c r="C9" s="1" t="s">
        <v>9</v>
      </c>
      <c r="D9" s="1" t="s">
        <v>13</v>
      </c>
      <c r="F9" s="17"/>
      <c r="H9" s="1" t="s">
        <v>14</v>
      </c>
      <c r="I9" s="1">
        <v>300</v>
      </c>
      <c r="J9" s="1" t="s">
        <v>15</v>
      </c>
      <c r="L9" s="5"/>
      <c r="O9" s="17"/>
      <c r="Y9" s="5"/>
    </row>
    <row r="10" spans="1:25">
      <c r="F10" s="17"/>
      <c r="H10" s="1" t="s">
        <v>16</v>
      </c>
      <c r="I10" s="1">
        <f>I9*0.001*24</f>
        <v>7.1999999999999993</v>
      </c>
      <c r="L10" s="5"/>
      <c r="O10" s="17"/>
      <c r="Y10" s="5"/>
    </row>
    <row r="11" spans="1:25">
      <c r="F11" s="17"/>
      <c r="I11" s="18"/>
      <c r="L11" s="5"/>
      <c r="O11" s="17"/>
      <c r="Y11" s="5"/>
    </row>
    <row r="12" spans="1:25">
      <c r="A12" s="1" t="s">
        <v>17</v>
      </c>
      <c r="B12" s="19">
        <f>(B4+B7*(B2-B4))/100</f>
        <v>0.11893134849057731</v>
      </c>
      <c r="C12" s="1" t="s">
        <v>18</v>
      </c>
      <c r="F12" s="17"/>
      <c r="H12" s="1" t="s">
        <v>19</v>
      </c>
      <c r="I12" s="18">
        <v>197.249</v>
      </c>
      <c r="J12" s="1" t="s">
        <v>20</v>
      </c>
      <c r="K12" s="1" t="s">
        <v>21</v>
      </c>
      <c r="L12" s="20" t="s">
        <v>22</v>
      </c>
      <c r="O12" s="17"/>
      <c r="Y12" s="5"/>
    </row>
    <row r="13" spans="1:25">
      <c r="B13" s="19">
        <f>(B4+B7*(B3-B4))/100</f>
        <v>7.9161193905828667E-2</v>
      </c>
      <c r="C13" s="1" t="s">
        <v>23</v>
      </c>
      <c r="F13" s="17"/>
      <c r="H13" s="7" t="s">
        <v>24</v>
      </c>
      <c r="I13" s="21">
        <f>I10*I12*365</f>
        <v>518370.37199999992</v>
      </c>
      <c r="L13" s="20" t="s">
        <v>25</v>
      </c>
      <c r="M13" s="6"/>
      <c r="O13" s="17"/>
      <c r="Y13" s="5"/>
    </row>
    <row r="14" spans="1:25">
      <c r="F14" s="17"/>
      <c r="H14" s="7"/>
      <c r="I14" s="21"/>
      <c r="L14" s="14"/>
      <c r="O14" s="17"/>
      <c r="Y14" s="5"/>
    </row>
    <row r="15" spans="1:25">
      <c r="F15" s="17"/>
      <c r="H15" s="7" t="s">
        <v>89</v>
      </c>
      <c r="I15" s="21">
        <f>23900</f>
        <v>23900</v>
      </c>
      <c r="L15" s="5" t="s">
        <v>90</v>
      </c>
      <c r="O15" s="2" t="s">
        <v>26</v>
      </c>
      <c r="P15" s="3"/>
      <c r="Q15" s="3"/>
      <c r="R15" s="3"/>
      <c r="S15" s="4"/>
      <c r="U15" s="2" t="s">
        <v>27</v>
      </c>
      <c r="V15" s="3"/>
      <c r="W15" s="3"/>
      <c r="X15" s="3"/>
      <c r="Y15" s="4"/>
    </row>
    <row r="16" spans="1:25">
      <c r="F16" s="17"/>
      <c r="I16" s="18"/>
      <c r="L16" s="5"/>
      <c r="O16" s="17" t="s">
        <v>28</v>
      </c>
      <c r="S16" s="5"/>
      <c r="U16" s="17" t="s">
        <v>29</v>
      </c>
      <c r="Y16" s="5"/>
    </row>
    <row r="17" spans="2:25">
      <c r="F17" s="17"/>
      <c r="H17" s="1" t="s">
        <v>30</v>
      </c>
      <c r="I17" s="22">
        <v>2340</v>
      </c>
      <c r="L17" s="5"/>
      <c r="O17" s="17"/>
      <c r="P17" s="1" t="s">
        <v>31</v>
      </c>
      <c r="S17" s="5"/>
      <c r="U17" s="17"/>
      <c r="Y17" s="5"/>
    </row>
    <row r="18" spans="2:25">
      <c r="F18" s="17"/>
      <c r="I18" s="1" t="s">
        <v>32</v>
      </c>
      <c r="J18" s="1" t="s">
        <v>33</v>
      </c>
      <c r="K18" s="1" t="s">
        <v>34</v>
      </c>
      <c r="L18" s="5" t="s">
        <v>35</v>
      </c>
      <c r="O18" s="17" t="s">
        <v>36</v>
      </c>
      <c r="P18" s="18">
        <v>9043476</v>
      </c>
      <c r="S18" s="5"/>
      <c r="U18" s="17" t="s">
        <v>37</v>
      </c>
      <c r="V18" s="18">
        <v>405024.5307692308</v>
      </c>
      <c r="W18" s="18">
        <f>801889065/I17</f>
        <v>342687.63461538462</v>
      </c>
      <c r="Y18" s="5"/>
    </row>
    <row r="19" spans="2:25">
      <c r="F19" s="17"/>
      <c r="H19" s="1" t="s">
        <v>38</v>
      </c>
      <c r="I19" s="1">
        <f>40*4*8</f>
        <v>1280</v>
      </c>
      <c r="J19" s="1">
        <f>30*4*8</f>
        <v>960</v>
      </c>
      <c r="K19" s="1">
        <f>20*4*8</f>
        <v>640</v>
      </c>
      <c r="L19" s="5">
        <f>10*4*8</f>
        <v>320</v>
      </c>
      <c r="O19" s="17" t="s">
        <v>39</v>
      </c>
      <c r="P19" s="18">
        <v>9474602</v>
      </c>
      <c r="S19" s="5"/>
      <c r="U19" s="17" t="s">
        <v>40</v>
      </c>
      <c r="V19" s="18">
        <f>400543153/I17</f>
        <v>171172.28760683761</v>
      </c>
      <c r="Y19" s="5"/>
    </row>
    <row r="20" spans="2:25">
      <c r="F20" s="17"/>
      <c r="H20" s="1" t="s">
        <v>41</v>
      </c>
      <c r="I20" s="18"/>
      <c r="J20" s="18" t="s">
        <v>42</v>
      </c>
      <c r="K20" s="1" t="s">
        <v>43</v>
      </c>
      <c r="L20" s="5"/>
      <c r="O20" s="17" t="s">
        <v>44</v>
      </c>
      <c r="P20" s="19">
        <v>7.4999999999999997E-2</v>
      </c>
      <c r="S20" s="5"/>
      <c r="U20" s="17" t="s">
        <v>45</v>
      </c>
      <c r="V20" s="18">
        <f>V19*2340</f>
        <v>400543153</v>
      </c>
      <c r="X20" s="1" t="s">
        <v>46</v>
      </c>
      <c r="Y20" s="23">
        <v>371480481</v>
      </c>
    </row>
    <row r="21" spans="2:25" ht="15.75" customHeight="1">
      <c r="F21" s="17"/>
      <c r="H21" s="1" t="s">
        <v>47</v>
      </c>
      <c r="I21" s="1">
        <v>6</v>
      </c>
      <c r="L21" s="5"/>
      <c r="O21" s="24" t="s">
        <v>48</v>
      </c>
      <c r="P21" s="25">
        <f t="shared" ref="P21:P22" si="0">P18*P$20</f>
        <v>678260.7</v>
      </c>
      <c r="S21" s="5"/>
      <c r="U21" s="17"/>
      <c r="V21" s="18"/>
      <c r="Y21" s="5"/>
    </row>
    <row r="22" spans="2:25" ht="27" customHeight="1">
      <c r="F22" s="43" t="s">
        <v>49</v>
      </c>
      <c r="H22" s="1" t="s">
        <v>50</v>
      </c>
      <c r="I22" s="1">
        <v>1183</v>
      </c>
      <c r="J22" s="18">
        <f>I22*K34</f>
        <v>1106045.8500000001</v>
      </c>
      <c r="K22" s="18">
        <f t="shared" ref="K22:K23" si="1">J22/(40*4)</f>
        <v>6912.7865625000004</v>
      </c>
      <c r="L22" s="5"/>
      <c r="O22" s="24" t="s">
        <v>51</v>
      </c>
      <c r="P22" s="25">
        <f t="shared" si="0"/>
        <v>710595.15</v>
      </c>
      <c r="S22" s="5"/>
      <c r="U22" s="26" t="s">
        <v>52</v>
      </c>
      <c r="V22" s="19">
        <v>1.4999999999999999E-2</v>
      </c>
      <c r="Y22" s="5"/>
    </row>
    <row r="23" spans="2:25" ht="15.75" customHeight="1">
      <c r="F23" s="43" t="s">
        <v>53</v>
      </c>
      <c r="H23" s="1" t="s">
        <v>54</v>
      </c>
      <c r="I23" s="27">
        <v>18000000</v>
      </c>
      <c r="J23" s="27">
        <f>I23/12</f>
        <v>1500000</v>
      </c>
      <c r="K23" s="18">
        <f t="shared" si="1"/>
        <v>9375</v>
      </c>
      <c r="L23" s="5"/>
      <c r="O23" s="17"/>
      <c r="S23" s="5"/>
      <c r="U23" s="24" t="s">
        <v>55</v>
      </c>
      <c r="V23" s="25">
        <f>V20*V22</f>
        <v>6008147.2949999999</v>
      </c>
      <c r="W23" s="28">
        <f>(V22*V19)*2340</f>
        <v>6008147.2949999999</v>
      </c>
      <c r="Y23" s="5"/>
    </row>
    <row r="24" spans="2:25" ht="15.75" customHeight="1">
      <c r="B24" s="1" t="s">
        <v>56</v>
      </c>
      <c r="C24" s="18">
        <v>330649.73504273506</v>
      </c>
      <c r="D24" s="18"/>
      <c r="F24" s="43" t="s">
        <v>57</v>
      </c>
      <c r="H24" s="1" t="s">
        <v>58</v>
      </c>
      <c r="K24" s="18">
        <f>K34*L24</f>
        <v>11686.875</v>
      </c>
      <c r="L24" s="5">
        <v>12.5</v>
      </c>
      <c r="O24" s="29" t="s">
        <v>59</v>
      </c>
      <c r="P24" s="30">
        <f xml:space="preserve"> I32</f>
        <v>-13272550.200000001</v>
      </c>
      <c r="S24" s="5"/>
      <c r="U24" s="17"/>
      <c r="Y24" s="5"/>
    </row>
    <row r="25" spans="2:25" ht="15.75" customHeight="1">
      <c r="B25" s="1" t="s">
        <v>60</v>
      </c>
      <c r="C25" s="18">
        <f>V18-C24</f>
        <v>74374.795726495737</v>
      </c>
      <c r="D25" s="18">
        <f>W18-C24</f>
        <v>12037.899572649563</v>
      </c>
      <c r="F25" s="17"/>
      <c r="H25" s="1" t="s">
        <v>61</v>
      </c>
      <c r="K25" s="18">
        <f>AVERAGE(K22:K24)</f>
        <v>9324.8871875000004</v>
      </c>
      <c r="L25" s="5"/>
      <c r="O25" s="29" t="s">
        <v>62</v>
      </c>
      <c r="P25" s="30">
        <f>P21+P22-I13-I15</f>
        <v>846585.47800000012</v>
      </c>
      <c r="S25" s="5"/>
      <c r="U25" s="29" t="s">
        <v>59</v>
      </c>
      <c r="V25" s="30">
        <f>I32</f>
        <v>-13272550.200000001</v>
      </c>
      <c r="Y25" s="5"/>
    </row>
    <row r="26" spans="2:25" ht="15.75" customHeight="1">
      <c r="F26" s="17"/>
      <c r="L26" s="5"/>
      <c r="O26" s="29" t="s">
        <v>63</v>
      </c>
      <c r="P26" s="30">
        <f t="shared" ref="P26:P29" si="2">0.03*P25 + P25</f>
        <v>871983.04234000016</v>
      </c>
      <c r="S26" s="5"/>
      <c r="U26" s="29" t="s">
        <v>64</v>
      </c>
      <c r="V26" s="30">
        <f>V23-I13-I15</f>
        <v>5465876.9230000004</v>
      </c>
      <c r="Y26" s="5"/>
    </row>
    <row r="27" spans="2:25" ht="15.75" customHeight="1">
      <c r="F27" s="17"/>
      <c r="H27" s="1" t="s">
        <v>65</v>
      </c>
      <c r="I27" s="18">
        <f>K22*K19</f>
        <v>4424183.4000000004</v>
      </c>
      <c r="L27" s="5"/>
      <c r="O27" s="29" t="s">
        <v>66</v>
      </c>
      <c r="P27" s="30">
        <f t="shared" si="2"/>
        <v>898142.53361020016</v>
      </c>
      <c r="S27" s="5"/>
      <c r="U27" s="29" t="s">
        <v>63</v>
      </c>
      <c r="V27" s="30">
        <f t="shared" ref="V27:V30" si="3">0.03*V26 + V26</f>
        <v>5629853.2306900006</v>
      </c>
      <c r="Y27" s="5"/>
    </row>
    <row r="28" spans="2:25" ht="15.75" customHeight="1">
      <c r="F28" s="17"/>
      <c r="H28" s="1" t="s">
        <v>67</v>
      </c>
      <c r="I28" s="18">
        <f>K22*15*4*8</f>
        <v>3318137.5500000003</v>
      </c>
      <c r="L28" s="5"/>
      <c r="O28" s="29" t="s">
        <v>68</v>
      </c>
      <c r="P28" s="30">
        <f t="shared" si="2"/>
        <v>925086.80961850611</v>
      </c>
      <c r="S28" s="5"/>
      <c r="U28" s="29" t="s">
        <v>66</v>
      </c>
      <c r="V28" s="30">
        <f t="shared" si="3"/>
        <v>5798748.8276107004</v>
      </c>
      <c r="Y28" s="5"/>
    </row>
    <row r="29" spans="2:25" ht="15.75" customHeight="1">
      <c r="F29" s="17"/>
      <c r="H29" s="1" t="s">
        <v>69</v>
      </c>
      <c r="I29" s="18">
        <f>K22*10*4*8</f>
        <v>2212091.7000000002</v>
      </c>
      <c r="L29" s="5"/>
      <c r="O29" s="31" t="s">
        <v>70</v>
      </c>
      <c r="P29" s="32">
        <f t="shared" si="2"/>
        <v>952839.41390706133</v>
      </c>
      <c r="Q29" s="8"/>
      <c r="R29" s="8"/>
      <c r="S29" s="9"/>
      <c r="U29" s="29" t="s">
        <v>68</v>
      </c>
      <c r="V29" s="30">
        <f t="shared" si="3"/>
        <v>5972711.2924390212</v>
      </c>
      <c r="Y29" s="5"/>
    </row>
    <row r="30" spans="2:25" ht="15.75" customHeight="1">
      <c r="E30" s="1"/>
      <c r="F30" s="17"/>
      <c r="L30" s="5"/>
      <c r="O30" s="17"/>
      <c r="U30" s="31" t="s">
        <v>70</v>
      </c>
      <c r="V30" s="32">
        <f t="shared" si="3"/>
        <v>6151892.6312121917</v>
      </c>
      <c r="W30" s="8"/>
      <c r="X30" s="8"/>
      <c r="Y30" s="9"/>
    </row>
    <row r="31" spans="2:25" ht="15.75" customHeight="1">
      <c r="F31" s="17"/>
      <c r="H31" s="33" t="s">
        <v>71</v>
      </c>
      <c r="I31" s="21">
        <f t="shared" ref="I31:I32" si="4">-I28*6</f>
        <v>-19908825.300000001</v>
      </c>
      <c r="L31" s="5"/>
      <c r="O31" s="34"/>
      <c r="Y31" s="5"/>
    </row>
    <row r="32" spans="2:25" ht="15.75" customHeight="1">
      <c r="F32" s="17"/>
      <c r="H32" s="33" t="s">
        <v>72</v>
      </c>
      <c r="I32" s="21">
        <f t="shared" si="4"/>
        <v>-13272550.200000001</v>
      </c>
      <c r="L32" s="5"/>
      <c r="O32" s="17"/>
      <c r="V32" s="35"/>
      <c r="Y32" s="5"/>
    </row>
    <row r="33" spans="2:25" ht="15.75" customHeight="1">
      <c r="F33" s="17"/>
      <c r="L33" s="5"/>
      <c r="O33" s="17"/>
      <c r="V33" s="18"/>
      <c r="Y33" s="5"/>
    </row>
    <row r="34" spans="2:25" ht="15.75" customHeight="1">
      <c r="F34" s="10"/>
      <c r="G34" s="8"/>
      <c r="H34" s="8"/>
      <c r="I34" s="8">
        <v>1</v>
      </c>
      <c r="J34" s="8" t="s">
        <v>73</v>
      </c>
      <c r="K34" s="8">
        <v>934.95</v>
      </c>
      <c r="L34" s="9" t="s">
        <v>74</v>
      </c>
      <c r="O34" s="17"/>
      <c r="Y34" s="5"/>
    </row>
    <row r="35" spans="2:25" ht="15.75" customHeight="1">
      <c r="O35" s="17"/>
      <c r="Y35" s="5"/>
    </row>
    <row r="36" spans="2:25" ht="15.75" customHeight="1">
      <c r="B36" s="36" t="s">
        <v>75</v>
      </c>
      <c r="O36" s="17"/>
      <c r="Y36" s="5"/>
    </row>
    <row r="37" spans="2:25" ht="15.75" customHeight="1">
      <c r="B37" s="11">
        <v>41275</v>
      </c>
      <c r="C37" s="11">
        <v>41640</v>
      </c>
      <c r="D37" s="11">
        <v>42005</v>
      </c>
      <c r="E37" s="11">
        <v>42370</v>
      </c>
      <c r="F37" s="11">
        <v>42736</v>
      </c>
      <c r="G37" s="11">
        <v>43101</v>
      </c>
      <c r="H37" s="11">
        <v>43466</v>
      </c>
      <c r="I37" s="11">
        <v>43831</v>
      </c>
      <c r="J37" s="11">
        <v>44197</v>
      </c>
      <c r="K37" s="11">
        <v>44562</v>
      </c>
      <c r="L37" s="11">
        <v>44927</v>
      </c>
      <c r="M37" s="11"/>
      <c r="N37" s="11">
        <v>45292</v>
      </c>
      <c r="O37" s="17"/>
      <c r="S37" s="47" t="s">
        <v>76</v>
      </c>
      <c r="T37" s="48"/>
      <c r="U37" s="48"/>
      <c r="V37" s="48"/>
      <c r="W37" s="49"/>
      <c r="Y37" s="5"/>
    </row>
    <row r="38" spans="2:25" ht="15.75" customHeight="1">
      <c r="B38" s="12">
        <v>18227.05</v>
      </c>
      <c r="C38" s="12">
        <v>18870.41</v>
      </c>
      <c r="D38" s="12">
        <v>18151.5</v>
      </c>
      <c r="E38" s="12">
        <v>20734.169999999998</v>
      </c>
      <c r="F38" s="12">
        <v>27980.78</v>
      </c>
      <c r="G38" s="12">
        <v>25949.84</v>
      </c>
      <c r="H38" s="12">
        <v>23393.53</v>
      </c>
      <c r="I38" s="12">
        <v>21007.46</v>
      </c>
      <c r="J38" s="12">
        <v>21566.81</v>
      </c>
      <c r="K38" s="12">
        <v>27606.58</v>
      </c>
      <c r="L38" s="12">
        <v>31437.03</v>
      </c>
      <c r="M38" s="12"/>
      <c r="N38" s="12">
        <v>33683.910000000003</v>
      </c>
      <c r="O38" s="17"/>
      <c r="Q38" s="1" t="s">
        <v>77</v>
      </c>
      <c r="S38" s="37"/>
      <c r="T38" s="37" t="s">
        <v>78</v>
      </c>
      <c r="U38" s="50"/>
      <c r="V38" s="47"/>
      <c r="W38" s="49"/>
      <c r="Y38" s="5"/>
    </row>
    <row r="39" spans="2:25" ht="15.75" customHeight="1">
      <c r="B39" s="36" t="s">
        <v>79</v>
      </c>
      <c r="C39" s="16">
        <f t="shared" ref="C39:L39" si="5">100*(C38-B38)/B38</f>
        <v>3.5296989913343113</v>
      </c>
      <c r="D39" s="16">
        <f t="shared" si="5"/>
        <v>-3.8097211454335111</v>
      </c>
      <c r="E39" s="16">
        <f t="shared" si="5"/>
        <v>14.228410875134276</v>
      </c>
      <c r="F39" s="16">
        <f t="shared" si="5"/>
        <v>34.950084811690076</v>
      </c>
      <c r="G39" s="16">
        <f t="shared" si="5"/>
        <v>-7.2583394744535319</v>
      </c>
      <c r="H39" s="16">
        <f t="shared" si="5"/>
        <v>-9.8509663258039399</v>
      </c>
      <c r="I39" s="16">
        <f t="shared" si="5"/>
        <v>-10.199700515484409</v>
      </c>
      <c r="J39" s="16">
        <f t="shared" si="5"/>
        <v>2.6626255625382709</v>
      </c>
      <c r="K39" s="16">
        <f t="shared" si="5"/>
        <v>28.004929797220822</v>
      </c>
      <c r="L39" s="16">
        <f t="shared" si="5"/>
        <v>13.875134116576543</v>
      </c>
      <c r="M39" s="16"/>
      <c r="N39" s="16">
        <f>100*(N38-L38)/L38</f>
        <v>7.1472400541654375</v>
      </c>
      <c r="O39" s="17"/>
      <c r="S39" s="37" t="s">
        <v>80</v>
      </c>
      <c r="T39" s="38">
        <v>-17154462.600000001</v>
      </c>
      <c r="U39" s="51"/>
      <c r="V39" s="37" t="s">
        <v>81</v>
      </c>
      <c r="W39" s="39">
        <f>IRR(T39:T44)</f>
        <v>0.30910596407049185</v>
      </c>
      <c r="Y39" s="5"/>
    </row>
    <row r="40" spans="2:25" ht="15.75" customHeight="1">
      <c r="B40" s="36" t="s">
        <v>82</v>
      </c>
      <c r="O40" s="17"/>
      <c r="S40" s="37" t="s">
        <v>83</v>
      </c>
      <c r="T40" s="38">
        <f>V23-I13-I15+P22+P21</f>
        <v>6854732.773000001</v>
      </c>
      <c r="U40" s="51"/>
      <c r="V40" s="37" t="s">
        <v>84</v>
      </c>
      <c r="W40" s="38">
        <f t="array" ref="W40">NPV(B13,T40:T44)+T39</f>
        <v>11840309.38804137</v>
      </c>
      <c r="Y40" s="5"/>
    </row>
    <row r="41" spans="2:25" ht="15.75" customHeight="1">
      <c r="O41" s="17"/>
      <c r="S41" s="37" t="s">
        <v>85</v>
      </c>
      <c r="T41" s="38">
        <f t="shared" ref="T41:T44" si="6">0.03*T40 + T40</f>
        <v>7060374.756190001</v>
      </c>
      <c r="U41" s="51"/>
      <c r="V41" s="53"/>
      <c r="W41" s="54"/>
      <c r="Y41" s="5"/>
    </row>
    <row r="42" spans="2:25" ht="15.75" customHeight="1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0"/>
      <c r="P42" s="13"/>
      <c r="Q42" s="13"/>
      <c r="S42" s="37" t="s">
        <v>86</v>
      </c>
      <c r="T42" s="38">
        <f t="shared" si="6"/>
        <v>7272185.9988757009</v>
      </c>
      <c r="U42" s="51"/>
      <c r="V42" s="55"/>
      <c r="W42" s="56"/>
      <c r="Y42" s="5"/>
    </row>
    <row r="43" spans="2:25" ht="15" customHeight="1"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2"/>
      <c r="P43" s="41"/>
      <c r="Q43" s="41"/>
      <c r="S43" s="37" t="s">
        <v>87</v>
      </c>
      <c r="T43" s="38">
        <f t="shared" si="6"/>
        <v>7490351.5788419722</v>
      </c>
      <c r="U43" s="51"/>
      <c r="V43" s="55"/>
      <c r="W43" s="56"/>
      <c r="Y43" s="5"/>
    </row>
    <row r="44" spans="2:25" ht="15.75" customHeight="1">
      <c r="O44" s="17"/>
      <c r="S44" s="37" t="s">
        <v>88</v>
      </c>
      <c r="T44" s="38">
        <f t="shared" si="6"/>
        <v>7715062.1262072315</v>
      </c>
      <c r="U44" s="52"/>
      <c r="V44" s="57"/>
      <c r="W44" s="58"/>
      <c r="Y44" s="5"/>
    </row>
    <row r="45" spans="2:25" ht="15.75" customHeight="1">
      <c r="O45" s="10"/>
      <c r="P45" s="8"/>
      <c r="Q45" s="8"/>
      <c r="R45" s="8"/>
      <c r="S45" s="8"/>
      <c r="T45" s="8"/>
      <c r="U45" s="8"/>
      <c r="V45" s="8"/>
      <c r="W45" s="8"/>
      <c r="X45" s="8"/>
      <c r="Y45" s="9"/>
    </row>
    <row r="46" spans="2:25" ht="15.75" customHeight="1"/>
    <row r="47" spans="2:25" ht="15.75" customHeight="1"/>
    <row r="48" spans="2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G3:H4"/>
    <mergeCell ref="S5:U6"/>
    <mergeCell ref="S37:W37"/>
    <mergeCell ref="U38:U44"/>
    <mergeCell ref="V38:W38"/>
    <mergeCell ref="V41:W44"/>
  </mergeCells>
  <hyperlinks>
    <hyperlink ref="E4" r:id="rId1" xr:uid="{00000000-0004-0000-0100-000000000000}"/>
    <hyperlink ref="L12" r:id="rId2" xr:uid="{00000000-0004-0000-0100-000001000000}"/>
    <hyperlink ref="L13" r:id="rId3" xr:uid="{00000000-0004-0000-0100-000002000000}"/>
    <hyperlink ref="F22" r:id="rId4" xr:uid="{00000000-0004-0000-0100-000004000000}"/>
    <hyperlink ref="F23" r:id="rId5" xr:uid="{1A2B9A9D-6CEE-4BC9-BB46-41EF0420DCD7}"/>
    <hyperlink ref="F24" r:id="rId6" xr:uid="{3DFF902F-9459-4C2A-A1F7-D8BEF445B30D}"/>
  </hyperlinks>
  <pageMargins left="0.7" right="0.7" top="0.75" bottom="0.75" header="0" footer="0"/>
  <pageSetup orientation="portrait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Estimación Costo y Beneficios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TORRES MORALES FRANCISCO J</dc:creator>
  <cp:keywords/>
  <dc:description/>
  <cp:lastModifiedBy>TORRES MORALES FRANCISCO J</cp:lastModifiedBy>
  <cp:revision/>
  <dcterms:created xsi:type="dcterms:W3CDTF">2025-04-23T21:20:27Z</dcterms:created>
  <dcterms:modified xsi:type="dcterms:W3CDTF">2025-11-22T23:23:55Z</dcterms:modified>
  <cp:category/>
  <cp:contentStatus/>
</cp:coreProperties>
</file>